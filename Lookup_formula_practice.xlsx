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s_dataset_report\"/>
    </mc:Choice>
  </mc:AlternateContent>
  <xr:revisionPtr revIDLastSave="0" documentId="13_ncr:1_{09E1B3AC-527F-46B8-B871-3F63836EC128}" xr6:coauthVersionLast="36" xr6:coauthVersionMax="36" xr10:uidLastSave="{00000000-0000-0000-0000-000000000000}"/>
  <bookViews>
    <workbookView xWindow="0" yWindow="0" windowWidth="23040" windowHeight="8652" activeTab="1" xr2:uid="{CBB41AFF-CDCE-49E3-83D7-781442D259E3}"/>
  </bookViews>
  <sheets>
    <sheet name="Hlookup_Formula" sheetId="4" r:id="rId1"/>
    <sheet name="Vlookup_Formula" sheetId="6" r:id="rId2"/>
    <sheet name="Index_match Formula" sheetId="2" r:id="rId3"/>
  </sheets>
  <definedNames>
    <definedName name="table">Hlookup_Formula!#REF!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6" l="1"/>
  <c r="M6" i="6"/>
  <c r="M7" i="6"/>
  <c r="M8" i="6"/>
  <c r="M9" i="6"/>
  <c r="M10" i="6"/>
  <c r="M11" i="6"/>
  <c r="M12" i="6"/>
  <c r="M4" i="6"/>
  <c r="J4" i="4" l="1"/>
  <c r="I4" i="4"/>
  <c r="H4" i="4"/>
  <c r="H11" i="2"/>
  <c r="H12" i="2"/>
  <c r="H10" i="2"/>
  <c r="H5" i="2"/>
  <c r="H6" i="2"/>
  <c r="H7" i="2"/>
  <c r="H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940F85-6481-4A8A-B770-4451DA7C666E}" keepAlive="1" name="Query - Sales" description="Connection to the 'Sales' query in the workbook." type="5" refreshedVersion="6" background="1">
    <dbPr connection="Provider=Microsoft.Mashup.OleDb.1;Data Source=$Workbook$;Location=Sales;Extended Properties=&quot;&quot;" command="SELECT * FROM [Sales]"/>
  </connection>
  <connection id="2" xr16:uid="{EE382587-FFAB-47B2-A010-F8A19997FB8E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<sst xmlns="http://schemas.openxmlformats.org/spreadsheetml/2006/main" count="90" uniqueCount="63">
  <si>
    <t>Emp_id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</si>
  <si>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</si>
  <si>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</si>
  <si>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</si>
  <si>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</si>
  <si>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</si>
  <si>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</si>
  <si>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</si>
  <si>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</si>
  <si>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</si>
  <si>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</si>
  <si>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</si>
  <si>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Emp_Name</t>
  </si>
  <si>
    <t>Suraj</t>
  </si>
  <si>
    <t>Vishal</t>
  </si>
  <si>
    <t>Rohit</t>
  </si>
  <si>
    <t>Raj</t>
  </si>
  <si>
    <t>Shubham</t>
  </si>
  <si>
    <t>Vaibhav</t>
  </si>
  <si>
    <t>Swati</t>
  </si>
  <si>
    <t>Rehana</t>
  </si>
  <si>
    <t>Kashal</t>
  </si>
  <si>
    <t>Saurabh</t>
  </si>
  <si>
    <t>Ali</t>
  </si>
  <si>
    <t>sales_2021</t>
  </si>
  <si>
    <t>sales_2022</t>
  </si>
  <si>
    <t>sales_2023</t>
  </si>
  <si>
    <t>Year</t>
  </si>
  <si>
    <t>raj</t>
  </si>
  <si>
    <t>rohit</t>
  </si>
  <si>
    <t>ram</t>
  </si>
  <si>
    <t>vaishali</t>
  </si>
  <si>
    <t>Emp_name</t>
  </si>
  <si>
    <t>Order_ID</t>
  </si>
  <si>
    <t>Order_Date</t>
  </si>
  <si>
    <t>Customer_Name</t>
  </si>
  <si>
    <t>Region</t>
  </si>
  <si>
    <t>Product</t>
  </si>
  <si>
    <t>Category</t>
  </si>
  <si>
    <t>Quantity</t>
  </si>
  <si>
    <t>Price</t>
  </si>
  <si>
    <t>Discount</t>
  </si>
  <si>
    <t>Payment_Mode</t>
  </si>
  <si>
    <t>Amit Sharma</t>
  </si>
  <si>
    <t>West</t>
  </si>
  <si>
    <t>Laptop</t>
  </si>
  <si>
    <t>Electronics</t>
  </si>
  <si>
    <t>UPI</t>
  </si>
  <si>
    <t>Priya Verma</t>
  </si>
  <si>
    <t>North</t>
  </si>
  <si>
    <t>Phone</t>
  </si>
  <si>
    <t>Credit Card</t>
  </si>
  <si>
    <t>Rahul Jain</t>
  </si>
  <si>
    <t>South</t>
  </si>
  <si>
    <t>Table</t>
  </si>
  <si>
    <t>Furniture</t>
  </si>
  <si>
    <t>Cash</t>
  </si>
  <si>
    <t>Sneha Patil</t>
  </si>
  <si>
    <t>East</t>
  </si>
  <si>
    <t>Chair</t>
  </si>
  <si>
    <t>Arjun Rao</t>
  </si>
  <si>
    <t>Monitor</t>
  </si>
  <si>
    <t>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</si>
</sst>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3" borderId="2" xfId="0" applyFont="1" applyFill="1" applyBorder="1"/>
    <xf numFmtId="0" fontId="0" fillId="3" borderId="1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4" borderId="7" xfId="0" applyFill="1" applyBorder="1"/>
    <xf numFmtId="0" fontId="0" fillId="0" borderId="7" xfId="0" applyBorder="1"/>
    <xf numFmtId="0" fontId="0" fillId="5" borderId="7" xfId="0" applyFill="1" applyBorder="1" applyAlignment="1">
      <alignment horizontal="center"/>
    </xf>
    <xf numFmtId="0" fontId="0" fillId="6" borderId="7" xfId="0" applyFill="1" applyBorder="1"/>
    <xf numFmtId="0" fontId="0" fillId="7" borderId="7" xfId="0" applyFill="1" applyBorder="1"/>
    <xf numFmtId="22" fontId="0" fillId="3" borderId="3" xfId="0" applyNumberFormat="1" applyFont="1" applyFill="1" applyBorder="1"/>
    <xf numFmtId="22" fontId="0" fillId="3" borderId="5" xfId="0" applyNumberFormat="1" applyFont="1" applyFill="1" applyBorder="1"/>
    <xf numFmtId="22" fontId="0" fillId="0" borderId="5" xfId="0" applyNumberFormat="1" applyFont="1" applyBorder="1"/>
    <xf numFmtId="169" fontId="0" fillId="3" borderId="5" xfId="0" applyNumberFormat="1" applyFont="1" applyFill="1" applyBorder="1"/>
    <xf numFmtId="169" fontId="0" fillId="0" borderId="5" xfId="0" applyNumberFormat="1" applyFont="1" applyBorder="1"/>
    <xf numFmtId="169" fontId="0" fillId="3" borderId="3" xfId="0" applyNumberFormat="1" applyFont="1" applyFill="1" applyBorder="1"/>
    <xf numFmtId="0" fontId="1" fillId="2" borderId="7" xfId="0" applyFont="1" applyFill="1" applyBorder="1"/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DDE1-97E6-41E6-B14D-8BDAA6ACBAD0}">
  <dimension ref="A2:J8"/>
  <sheetViews>
    <sheetView workbookViewId="0">
      <selection activeCell="D12" sqref="D12"/>
    </sheetView>
  </sheetViews>
  <sheetFormatPr defaultRowHeight="14.4" x14ac:dyDescent="0.3"/>
  <cols>
    <col min="7" max="7" width="10.109375" bestFit="1" customWidth="1"/>
  </cols>
  <sheetData>
    <row r="2" spans="1:10" x14ac:dyDescent="0.3">
      <c r="A2" s="16" t="s">
        <v>27</v>
      </c>
      <c r="B2" s="17" t="s">
        <v>28</v>
      </c>
      <c r="C2" s="17" t="s">
        <v>29</v>
      </c>
      <c r="D2" s="17" t="s">
        <v>30</v>
      </c>
      <c r="E2" s="17" t="s">
        <v>31</v>
      </c>
    </row>
    <row r="3" spans="1:10" x14ac:dyDescent="0.3">
      <c r="A3" s="16">
        <v>2020</v>
      </c>
      <c r="B3" s="18">
        <v>31995</v>
      </c>
      <c r="C3" s="18">
        <v>30534</v>
      </c>
      <c r="D3" s="18">
        <v>36481</v>
      </c>
      <c r="E3" s="18">
        <v>44180</v>
      </c>
      <c r="G3" s="14" t="s">
        <v>32</v>
      </c>
      <c r="H3" s="14">
        <v>2021</v>
      </c>
      <c r="I3" s="14">
        <v>2022</v>
      </c>
      <c r="J3" s="14">
        <v>2023</v>
      </c>
    </row>
    <row r="4" spans="1:10" x14ac:dyDescent="0.3">
      <c r="A4" s="16">
        <v>2021</v>
      </c>
      <c r="B4" s="18">
        <v>40956</v>
      </c>
      <c r="C4" s="18">
        <v>26068</v>
      </c>
      <c r="D4" s="18">
        <v>20717</v>
      </c>
      <c r="E4" s="18">
        <v>25204</v>
      </c>
      <c r="G4" s="15" t="s">
        <v>29</v>
      </c>
      <c r="H4" s="15">
        <f>HLOOKUP(G4,A2:E8,3,0)</f>
        <v>26068</v>
      </c>
      <c r="I4" s="15">
        <f>HLOOKUP(G4,A2:E8,4,0)</f>
        <v>30081</v>
      </c>
      <c r="J4" s="15">
        <f>HLOOKUP(G4,A2:E8,5,0)</f>
        <v>43054</v>
      </c>
    </row>
    <row r="5" spans="1:10" x14ac:dyDescent="0.3">
      <c r="A5" s="16">
        <v>2022</v>
      </c>
      <c r="B5" s="18">
        <v>12087</v>
      </c>
      <c r="C5" s="18">
        <v>30081</v>
      </c>
      <c r="D5" s="18">
        <v>19107</v>
      </c>
      <c r="E5" s="18">
        <v>17780</v>
      </c>
    </row>
    <row r="6" spans="1:10" x14ac:dyDescent="0.3">
      <c r="A6" s="16">
        <v>2023</v>
      </c>
      <c r="B6" s="18">
        <v>22302</v>
      </c>
      <c r="C6" s="18">
        <v>43054</v>
      </c>
      <c r="D6" s="18">
        <v>32414</v>
      </c>
      <c r="E6" s="18">
        <v>16359</v>
      </c>
    </row>
    <row r="7" spans="1:10" x14ac:dyDescent="0.3">
      <c r="A7" s="16">
        <v>2024</v>
      </c>
      <c r="B7" s="18">
        <v>14993</v>
      </c>
      <c r="C7" s="18">
        <v>16579</v>
      </c>
      <c r="D7" s="18">
        <v>21002</v>
      </c>
      <c r="E7" s="18">
        <v>15583</v>
      </c>
    </row>
    <row r="8" spans="1:10" x14ac:dyDescent="0.3">
      <c r="A8" s="16">
        <v>2025</v>
      </c>
      <c r="B8" s="18">
        <v>36741</v>
      </c>
      <c r="C8" s="18">
        <v>40581</v>
      </c>
      <c r="D8" s="18">
        <v>38214</v>
      </c>
      <c r="E8" s="18">
        <v>27233</v>
      </c>
    </row>
  </sheetData>
  <dataValidations count="1">
    <dataValidation type="list" allowBlank="1" showInputMessage="1" showErrorMessage="1" sqref="G4" xr:uid="{4427FEAF-6EC2-4D0F-B0E7-914AEB185D5E}">
      <formula1>$B$2:$E$2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F567-D80A-42F1-AD3D-7F6F71D5CA4B}">
  <dimension ref="A1:M12"/>
  <sheetViews>
    <sheetView tabSelected="1" workbookViewId="0">
      <selection activeCell="M3" sqref="M3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7.44140625" bestFit="1" customWidth="1"/>
    <col min="4" max="4" width="9" bestFit="1" customWidth="1"/>
    <col min="5" max="5" width="9.88671875" bestFit="1" customWidth="1"/>
    <col min="6" max="7" width="10.77734375" bestFit="1" customWidth="1"/>
    <col min="8" max="8" width="11" bestFit="1" customWidth="1"/>
    <col min="9" max="9" width="10.77734375" bestFit="1" customWidth="1"/>
    <col min="10" max="10" width="16.88671875" bestFit="1" customWidth="1"/>
    <col min="12" max="12" width="15.21875" bestFit="1" customWidth="1"/>
    <col min="13" max="13" width="10.77734375" bestFit="1" customWidth="1"/>
  </cols>
  <sheetData>
    <row r="1" spans="1:13" x14ac:dyDescent="0.3">
      <c r="A1" s="5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7" t="s">
        <v>42</v>
      </c>
    </row>
    <row r="2" spans="1:13" x14ac:dyDescent="0.3">
      <c r="A2" s="8">
        <v>1001</v>
      </c>
      <c r="B2" s="20">
        <v>45296</v>
      </c>
      <c r="C2" s="9" t="s">
        <v>43</v>
      </c>
      <c r="D2" s="9" t="s">
        <v>44</v>
      </c>
      <c r="E2" s="9" t="s">
        <v>45</v>
      </c>
      <c r="F2" s="9" t="s">
        <v>46</v>
      </c>
      <c r="G2" s="22">
        <v>2</v>
      </c>
      <c r="H2" s="22">
        <v>55000</v>
      </c>
      <c r="I2" s="22">
        <v>5</v>
      </c>
      <c r="J2" s="10" t="s">
        <v>47</v>
      </c>
    </row>
    <row r="3" spans="1:13" x14ac:dyDescent="0.3">
      <c r="A3" s="11">
        <v>1002</v>
      </c>
      <c r="B3" s="21">
        <v>45297</v>
      </c>
      <c r="C3" s="12" t="s">
        <v>48</v>
      </c>
      <c r="D3" s="12" t="s">
        <v>49</v>
      </c>
      <c r="E3" s="12" t="s">
        <v>50</v>
      </c>
      <c r="F3" s="12" t="s">
        <v>46</v>
      </c>
      <c r="G3" s="23">
        <v>1</v>
      </c>
      <c r="H3" s="23">
        <v>30000</v>
      </c>
      <c r="I3" s="23">
        <v>10</v>
      </c>
      <c r="J3" s="13" t="s">
        <v>51</v>
      </c>
      <c r="L3" s="25" t="s">
        <v>33</v>
      </c>
      <c r="M3" s="26">
        <v>1001</v>
      </c>
    </row>
    <row r="4" spans="1:13" x14ac:dyDescent="0.3">
      <c r="A4" s="8">
        <v>1003</v>
      </c>
      <c r="B4" s="20">
        <v>45298</v>
      </c>
      <c r="C4" s="9" t="s">
        <v>52</v>
      </c>
      <c r="D4" s="9" t="s">
        <v>53</v>
      </c>
      <c r="E4" s="9" t="s">
        <v>54</v>
      </c>
      <c r="F4" s="9" t="s">
        <v>55</v>
      </c>
      <c r="G4" s="22">
        <v>3</v>
      </c>
      <c r="H4" s="22">
        <v>8000</v>
      </c>
      <c r="I4" s="22">
        <v>0</v>
      </c>
      <c r="J4" s="10" t="s">
        <v>56</v>
      </c>
      <c r="L4" s="25" t="s">
        <v>34</v>
      </c>
      <c r="M4" s="27">
        <f>VLOOKUP($M$3,$A$1:$J$6,ROW()-2,0)</f>
        <v>45296</v>
      </c>
    </row>
    <row r="5" spans="1:13" x14ac:dyDescent="0.3">
      <c r="A5" s="11">
        <v>1004</v>
      </c>
      <c r="B5" s="21">
        <v>45299</v>
      </c>
      <c r="C5" s="12" t="s">
        <v>57</v>
      </c>
      <c r="D5" s="12" t="s">
        <v>58</v>
      </c>
      <c r="E5" s="12" t="s">
        <v>59</v>
      </c>
      <c r="F5" s="12" t="s">
        <v>55</v>
      </c>
      <c r="G5" s="23">
        <v>5</v>
      </c>
      <c r="H5" s="23">
        <v>2000</v>
      </c>
      <c r="I5" s="23">
        <v>5</v>
      </c>
      <c r="J5" s="13" t="s">
        <v>47</v>
      </c>
      <c r="L5" s="25" t="s">
        <v>35</v>
      </c>
      <c r="M5" s="27" t="str">
        <f t="shared" ref="M5:M12" si="0">VLOOKUP($M$3,$A$1:$J$6,ROW()-2,0)</f>
        <v>Amit Sharma</v>
      </c>
    </row>
    <row r="6" spans="1:13" x14ac:dyDescent="0.3">
      <c r="A6" s="3">
        <v>1005</v>
      </c>
      <c r="B6" s="19">
        <v>45300</v>
      </c>
      <c r="C6" s="4" t="s">
        <v>60</v>
      </c>
      <c r="D6" s="4" t="s">
        <v>44</v>
      </c>
      <c r="E6" s="4" t="s">
        <v>61</v>
      </c>
      <c r="F6" s="4" t="s">
        <v>46</v>
      </c>
      <c r="G6" s="24">
        <v>2</v>
      </c>
      <c r="H6" s="24">
        <v>15000</v>
      </c>
      <c r="I6" s="24">
        <v>8</v>
      </c>
      <c r="J6" s="2" t="s">
        <v>62</v>
      </c>
      <c r="L6" s="25" t="s">
        <v>36</v>
      </c>
      <c r="M6" s="27" t="str">
        <f t="shared" si="0"/>
        <v>West</v>
      </c>
    </row>
    <row r="7" spans="1:13" x14ac:dyDescent="0.3">
      <c r="L7" s="25" t="s">
        <v>37</v>
      </c>
      <c r="M7" s="27" t="str">
        <f t="shared" si="0"/>
        <v>Laptop</v>
      </c>
    </row>
    <row r="8" spans="1:13" x14ac:dyDescent="0.3">
      <c r="L8" s="25" t="s">
        <v>38</v>
      </c>
      <c r="M8" s="27" t="str">
        <f t="shared" si="0"/>
        <v>Electronics</v>
      </c>
    </row>
    <row r="9" spans="1:13" x14ac:dyDescent="0.3">
      <c r="L9" s="25" t="s">
        <v>39</v>
      </c>
      <c r="M9" s="28">
        <f t="shared" si="0"/>
        <v>2</v>
      </c>
    </row>
    <row r="10" spans="1:13" x14ac:dyDescent="0.3">
      <c r="L10" s="25" t="s">
        <v>40</v>
      </c>
      <c r="M10" s="28">
        <f t="shared" si="0"/>
        <v>55000</v>
      </c>
    </row>
    <row r="11" spans="1:13" x14ac:dyDescent="0.3">
      <c r="L11" s="25" t="s">
        <v>41</v>
      </c>
      <c r="M11" s="28">
        <f t="shared" si="0"/>
        <v>5</v>
      </c>
    </row>
    <row r="12" spans="1:13" x14ac:dyDescent="0.3">
      <c r="L12" s="25" t="s">
        <v>42</v>
      </c>
      <c r="M12" s="27" t="str">
        <f t="shared" si="0"/>
        <v>UPI</v>
      </c>
    </row>
  </sheetData>
  <dataValidations count="1">
    <dataValidation type="list" allowBlank="1" showInputMessage="1" showErrorMessage="1" sqref="M3" xr:uid="{DB364542-1622-4C2F-917F-75F68A7BC38D}">
      <formula1>$A$2:$A$6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6A62-DA25-4ED2-9E30-A90457739A5D}">
  <dimension ref="A1:H12"/>
  <sheetViews>
    <sheetView workbookViewId="0">
      <selection sqref="A1:E12"/>
    </sheetView>
  </sheetViews>
  <sheetFormatPr defaultRowHeight="14.4" x14ac:dyDescent="0.3"/>
  <cols>
    <col min="1" max="1" width="9.5546875" bestFit="1" customWidth="1"/>
    <col min="2" max="2" width="13" bestFit="1" customWidth="1"/>
    <col min="3" max="5" width="12.21875" bestFit="1" customWidth="1"/>
    <col min="7" max="7" width="10.77734375" bestFit="1" customWidth="1"/>
  </cols>
  <sheetData>
    <row r="1" spans="1:8" x14ac:dyDescent="0.3">
      <c r="A1" s="5" t="s">
        <v>0</v>
      </c>
      <c r="B1" s="6" t="s">
        <v>12</v>
      </c>
      <c r="C1" s="6" t="s">
        <v>24</v>
      </c>
      <c r="D1" s="6" t="s">
        <v>25</v>
      </c>
      <c r="E1" s="7" t="s">
        <v>26</v>
      </c>
    </row>
    <row r="2" spans="1:8" x14ac:dyDescent="0.3">
      <c r="A2" s="8" t="s">
        <v>1</v>
      </c>
      <c r="B2" s="9" t="s">
        <v>13</v>
      </c>
      <c r="C2" s="9">
        <v>59148</v>
      </c>
      <c r="D2" s="9">
        <v>20862</v>
      </c>
      <c r="E2" s="10">
        <v>28031</v>
      </c>
    </row>
    <row r="3" spans="1:8" x14ac:dyDescent="0.3">
      <c r="A3" s="11" t="s">
        <v>2</v>
      </c>
      <c r="B3" s="12" t="s">
        <v>14</v>
      </c>
      <c r="C3" s="12">
        <v>22033</v>
      </c>
      <c r="D3" s="12">
        <v>27364</v>
      </c>
      <c r="E3" s="13">
        <v>24138</v>
      </c>
      <c r="G3" s="5" t="s">
        <v>0</v>
      </c>
      <c r="H3" s="1" t="s">
        <v>1</v>
      </c>
    </row>
    <row r="4" spans="1:8" x14ac:dyDescent="0.3">
      <c r="A4" s="8" t="s">
        <v>3</v>
      </c>
      <c r="B4" s="9" t="s">
        <v>15</v>
      </c>
      <c r="C4" s="9">
        <v>36518</v>
      </c>
      <c r="D4" s="9">
        <v>21142</v>
      </c>
      <c r="E4" s="10">
        <v>22604</v>
      </c>
      <c r="G4" s="6" t="s">
        <v>12</v>
      </c>
      <c r="H4" s="1" t="str">
        <f>INDEX($A$1:$E$12,MATCH($H$3,$A$1:$A$12,0),MATCH(G4,$A$1:$E$1,0))</f>
        <v>Suraj</v>
      </c>
    </row>
    <row r="5" spans="1:8" x14ac:dyDescent="0.3">
      <c r="A5" s="11" t="s">
        <v>4</v>
      </c>
      <c r="B5" s="12" t="s">
        <v>16</v>
      </c>
      <c r="C5" s="12">
        <v>38667</v>
      </c>
      <c r="D5" s="12">
        <v>42829</v>
      </c>
      <c r="E5" s="13">
        <v>34463</v>
      </c>
      <c r="G5" s="6" t="s">
        <v>24</v>
      </c>
      <c r="H5" s="1">
        <f t="shared" ref="H5:H7" si="0">INDEX($A$1:$E$12,MATCH($H$3,$A$1:$A$12,0),MATCH(G5,$A$1:$E$1,0))</f>
        <v>59148</v>
      </c>
    </row>
    <row r="6" spans="1:8" x14ac:dyDescent="0.3">
      <c r="A6" s="8" t="s">
        <v>5</v>
      </c>
      <c r="B6" s="9" t="s">
        <v>17</v>
      </c>
      <c r="C6" s="9">
        <v>55037</v>
      </c>
      <c r="D6" s="9">
        <v>51671</v>
      </c>
      <c r="E6" s="10">
        <v>32467</v>
      </c>
      <c r="G6" s="6" t="s">
        <v>25</v>
      </c>
      <c r="H6" s="1">
        <f t="shared" si="0"/>
        <v>20862</v>
      </c>
    </row>
    <row r="7" spans="1:8" x14ac:dyDescent="0.3">
      <c r="A7" s="11" t="s">
        <v>6</v>
      </c>
      <c r="B7" s="12" t="s">
        <v>18</v>
      </c>
      <c r="C7" s="12">
        <v>49968</v>
      </c>
      <c r="D7" s="12">
        <v>29900</v>
      </c>
      <c r="E7" s="13">
        <v>59695</v>
      </c>
      <c r="G7" s="7" t="s">
        <v>26</v>
      </c>
      <c r="H7" s="1">
        <f t="shared" si="0"/>
        <v>28031</v>
      </c>
    </row>
    <row r="8" spans="1:8" x14ac:dyDescent="0.3">
      <c r="A8" s="8" t="s">
        <v>7</v>
      </c>
      <c r="B8" s="9" t="s">
        <v>19</v>
      </c>
      <c r="C8" s="9">
        <v>43975</v>
      </c>
      <c r="D8" s="9">
        <v>51957</v>
      </c>
      <c r="E8" s="10">
        <v>31397</v>
      </c>
    </row>
    <row r="9" spans="1:8" x14ac:dyDescent="0.3">
      <c r="A9" s="11" t="s">
        <v>8</v>
      </c>
      <c r="B9" s="12" t="s">
        <v>20</v>
      </c>
      <c r="C9" s="12">
        <v>32711</v>
      </c>
      <c r="D9" s="12">
        <v>33321</v>
      </c>
      <c r="E9" s="13">
        <v>56492</v>
      </c>
      <c r="G9" s="6" t="s">
        <v>12</v>
      </c>
      <c r="H9" s="1" t="s">
        <v>13</v>
      </c>
    </row>
    <row r="10" spans="1:8" x14ac:dyDescent="0.3">
      <c r="A10" s="8" t="s">
        <v>9</v>
      </c>
      <c r="B10" s="9" t="s">
        <v>21</v>
      </c>
      <c r="C10" s="9">
        <v>36693</v>
      </c>
      <c r="D10" s="9">
        <v>28948</v>
      </c>
      <c r="E10" s="10">
        <v>43379</v>
      </c>
      <c r="G10" s="6" t="s">
        <v>24</v>
      </c>
      <c r="H10" s="1">
        <f>INDEX(A1:E12,MATCH($H$9,$B$1:$B$12,0),MATCH(G10,$A$1:$E$1,0))</f>
        <v>59148</v>
      </c>
    </row>
    <row r="11" spans="1:8" x14ac:dyDescent="0.3">
      <c r="A11" s="11" t="s">
        <v>10</v>
      </c>
      <c r="B11" s="12" t="s">
        <v>22</v>
      </c>
      <c r="C11" s="12">
        <v>22149</v>
      </c>
      <c r="D11" s="12">
        <v>42069</v>
      </c>
      <c r="E11" s="13">
        <v>32991</v>
      </c>
      <c r="G11" s="6" t="s">
        <v>25</v>
      </c>
      <c r="H11" s="1">
        <f t="shared" ref="H11:H12" si="1">INDEX(A2:E13,MATCH($H$9,$B$1:$B$12,0),MATCH(G11,$A$1:$E$1,0))</f>
        <v>27364</v>
      </c>
    </row>
    <row r="12" spans="1:8" x14ac:dyDescent="0.3">
      <c r="A12" s="3" t="s">
        <v>11</v>
      </c>
      <c r="B12" s="4" t="s">
        <v>23</v>
      </c>
      <c r="C12" s="4">
        <v>57430</v>
      </c>
      <c r="D12" s="4">
        <v>51909</v>
      </c>
      <c r="E12" s="2">
        <v>54793</v>
      </c>
      <c r="G12" s="7" t="s">
        <v>26</v>
      </c>
      <c r="H12" s="1">
        <f t="shared" si="1"/>
        <v>22604</v>
      </c>
    </row>
  </sheetData>
  <dataValidations count="2">
    <dataValidation type="list" allowBlank="1" showInputMessage="1" showErrorMessage="1" sqref="H3" xr:uid="{C95C61BE-D3E6-4484-892D-87DE36963833}">
      <formula1>$A$2:$A$12</formula1>
    </dataValidation>
    <dataValidation type="list" allowBlank="1" showInputMessage="1" showErrorMessage="1" sqref="H9" xr:uid="{844F949F-F929-4C97-B4F3-D94484B4B994}">
      <formula1>$B$2:$B$12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7F2653-57FA-42D0-8444-0C6AD9A195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Hlookup_Formula</vt:lpstr>
      <vt:lpstr>Vlookup_Formula</vt:lpstr>
      <vt:lpstr>Index_match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2026-03-06T13:37:29Z</dcterms:created>
  <dcterms:modified xsi:type="dcterms:W3CDTF">2026-03-07T13:10:57Z</dcterms:modified>
</cp:coreProperties>
</file>